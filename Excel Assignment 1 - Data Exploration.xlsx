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e7f478e4c74bf3/Desktop/Entri Assignment/"/>
    </mc:Choice>
  </mc:AlternateContent>
  <xr:revisionPtr revIDLastSave="21" documentId="8_{66D5F291-C266-4335-96A4-9989ECE5F838}" xr6:coauthVersionLast="47" xr6:coauthVersionMax="47" xr10:uidLastSave="{5ED0EB9C-C466-444C-AB82-E058899F9AE1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6" i="3"/>
  <c r="J10" i="3"/>
  <c r="J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J7" i="3"/>
  <c r="J4" i="3"/>
  <c r="J2" i="3"/>
</calcChain>
</file>

<file path=xl/sharedStrings.xml><?xml version="1.0" encoding="utf-8"?>
<sst xmlns="http://schemas.openxmlformats.org/spreadsheetml/2006/main" count="315" uniqueCount="123">
  <si>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</si>
  <si>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</si>
  <si>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</si>
  <si>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</si>
  <si>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</si>
  <si>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</si>
  <si>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</si>
  <si>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</si>
  <si>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</si>
  <si>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</si>
  <si>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</si>
  <si>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</si>
  <si>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</si>
  <si>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</si>
  <si>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</si>
  <si>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</si>
  <si>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</si>
  <si>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</si>
  <si>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</si>
  <si>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</si>
  <si>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</si>
  <si>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</si>
  <si>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</si>
  <si>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</si>
  <si>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</si>
  <si>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</si>
  <si>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</si>
  <si>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</si>
  <si>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</si>
  <si>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</si>
  <si>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</si>
  <si>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</si>
  <si>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</si>
  <si>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</si>
  <si>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</si>
  <si>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</si>
  <si>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</si>
  <si>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</si>
  <si>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</si>
  <si>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</si>
  <si>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</si>
  <si>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</si>
  <si>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</si>
  <si>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</si>
  <si>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</si>
  <si>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</si>
  <si>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</si>
  <si>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</si>
  <si>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</si>
  <si>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</si>
  <si>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</si>
  <si>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</si>
  <si>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</si>
  <si>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</si>
  <si>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</si>
  <si>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</si>
  <si>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</si>
  <si>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</si>
  <si>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</si>
  <si>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</si>
  <si>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</si>
  <si>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</si>
  <si>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</si>
  <si>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</si>
  <si>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</si>
  <si>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</si>
  <si>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</si>
  <si>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</si>
  <si>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</si>
  <si>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</si>
  <si>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</si>
  <si>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</si>
  <si>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</si>
  <si>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</si>
  <si>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</si>
  <si>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</si>
  <si>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</si>
  <si>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</si>
  <si>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</si>
  <si>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</si>
  <si>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</si>
  <si>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</si>
  <si>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</si>
  <si>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</si>
  <si>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</si>
  <si>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</si>
  <si>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</si>
  <si>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</si>
  <si>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</si>
  <si>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</si>
  <si>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</si>
  <si>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</si>
  <si>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</si>
  <si>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</si>
  <si>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</si>
  <si>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</si>
  <si>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</si>
  <si>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</si>
  <si>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</si>
  <si>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</si>
  <si>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</si>
  <si>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</si>
  <si>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</si>
  <si>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</si>
  <si>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</si>
  <si>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</si>
  <si>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</si>
  <si>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</si>
  <si>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</si>
  <si>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</si>
  <si>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</si>
  <si>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Total products</t>
  </si>
  <si>
    <t xml:space="preserve">Avarage price </t>
  </si>
  <si>
    <t xml:space="preserve">Minimum price </t>
  </si>
  <si>
    <t xml:space="preserve">Maximum price </t>
  </si>
  <si>
    <t xml:space="preserve">Price Range </t>
  </si>
  <si>
    <t xml:space="preserve">Total price for "Electronics" </t>
  </si>
  <si>
    <t>Products less than $100</t>
  </si>
  <si>
    <t>MIN/MAX</t>
  </si>
  <si>
    <t>SUMIF, COUNTIF</t>
  </si>
  <si>
    <t>Country code</t>
  </si>
  <si>
    <t>Month</t>
  </si>
  <si>
    <t>SUM, COUNT, 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</si>
</sst>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48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/>
    <xf numFmtId="165" fontId="0" fillId="5" borderId="0" xfId="0" applyNumberFormat="1" applyFill="1"/>
    <xf numFmtId="164" fontId="0" fillId="5" borderId="0" xfId="0" applyNumberFormat="1" applyFill="1"/>
    <xf numFmtId="0" fontId="6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I5" sqref="I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I21" sqref="I2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067C-BBDF-47BF-AEC9-CED25E4C8740}">
  <dimension ref="A1:N35"/>
  <sheetViews>
    <sheetView tabSelected="1" zoomScale="82" workbookViewId="0">
      <selection activeCell="J4" sqref="J4"/>
    </sheetView>
  </sheetViews>
  <sheetFormatPr defaultRowHeight="13.2" x14ac:dyDescent="0.25"/>
  <cols>
    <col min="1" max="1" width="13.109375" customWidth="1"/>
    <col min="2" max="2" width="16.33203125" customWidth="1"/>
    <col min="3" max="3" width="13.6640625" customWidth="1"/>
    <col min="4" max="5" width="10.21875" customWidth="1"/>
    <col min="6" max="7" width="14.109375" customWidth="1"/>
    <col min="9" max="9" width="23.88671875" bestFit="1" customWidth="1"/>
    <col min="10" max="10" width="10.109375" bestFit="1" customWidth="1"/>
    <col min="12" max="12" width="11.6640625" bestFit="1" customWidth="1"/>
    <col min="13" max="13" width="12.88671875" bestFit="1" customWidth="1"/>
  </cols>
  <sheetData>
    <row r="1" spans="1:14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I1" s="5" t="s">
        <v>122</v>
      </c>
      <c r="L1" s="5" t="s">
        <v>17</v>
      </c>
      <c r="M1" s="5" t="s">
        <v>120</v>
      </c>
      <c r="N1" s="5" t="s">
        <v>121</v>
      </c>
    </row>
    <row r="2" spans="1:14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3" t="str">
        <f>IF(D2&gt;=500,"High Price","Standard Price")</f>
        <v>High Price</v>
      </c>
      <c r="I2" s="10" t="s">
        <v>110</v>
      </c>
      <c r="J2" s="11">
        <f>SUM(D2:D35)</f>
        <v>10100</v>
      </c>
      <c r="L2" s="10" t="str">
        <f>LEFT(A2,2)</f>
        <v>28</v>
      </c>
      <c r="M2" s="10" t="str">
        <f>RIGHT(A2,2)</f>
        <v>US</v>
      </c>
      <c r="N2" s="10" t="str">
        <f>MID(A2,4,3)</f>
        <v>JAN</v>
      </c>
    </row>
    <row r="3" spans="1:14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3" t="str">
        <f t="shared" ref="G3:G35" si="0">IF(D3&gt;=500,"High Price","Standard Price")</f>
        <v>Standard Price</v>
      </c>
      <c r="I3" s="10" t="s">
        <v>111</v>
      </c>
      <c r="J3" s="10">
        <f>COUNTA(B2:B35)</f>
        <v>34</v>
      </c>
      <c r="L3" s="10" t="str">
        <f t="shared" ref="L3:L35" si="1">LEFT(A3,2)</f>
        <v>15</v>
      </c>
      <c r="M3" s="10" t="str">
        <f t="shared" ref="M3:M35" si="2">RIGHT(A3,2)</f>
        <v>US</v>
      </c>
      <c r="N3" s="10" t="str">
        <f t="shared" ref="N3:N35" si="3">MID(A3,4,3)</f>
        <v>FEB</v>
      </c>
    </row>
    <row r="4" spans="1:14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3" t="str">
        <f t="shared" si="0"/>
        <v>Standard Price</v>
      </c>
      <c r="I4" s="10" t="s">
        <v>112</v>
      </c>
      <c r="J4" s="12">
        <f>AVERAGE(D2:D35)</f>
        <v>297.05882352941177</v>
      </c>
      <c r="L4" s="10" t="str">
        <f t="shared" si="1"/>
        <v>03</v>
      </c>
      <c r="M4" s="10" t="str">
        <f t="shared" si="2"/>
        <v>US</v>
      </c>
      <c r="N4" s="10" t="str">
        <f t="shared" si="3"/>
        <v>MAR</v>
      </c>
    </row>
    <row r="5" spans="1:14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3" t="str">
        <f t="shared" si="0"/>
        <v>High Price</v>
      </c>
      <c r="I5" s="14" t="s">
        <v>118</v>
      </c>
      <c r="L5" s="10" t="str">
        <f t="shared" si="1"/>
        <v>11</v>
      </c>
      <c r="M5" s="10" t="str">
        <f t="shared" si="2"/>
        <v>US</v>
      </c>
      <c r="N5" s="10" t="str">
        <f t="shared" si="3"/>
        <v>APR</v>
      </c>
    </row>
    <row r="6" spans="1:14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3" t="str">
        <f t="shared" si="0"/>
        <v>Standard Price</v>
      </c>
      <c r="I6" s="10" t="s">
        <v>113</v>
      </c>
      <c r="J6" s="12">
        <f>MIN(D2:D35)</f>
        <v>30</v>
      </c>
      <c r="L6" s="10" t="str">
        <f t="shared" si="1"/>
        <v>22</v>
      </c>
      <c r="M6" s="10" t="str">
        <f t="shared" si="2"/>
        <v>US</v>
      </c>
      <c r="N6" s="10" t="str">
        <f t="shared" si="3"/>
        <v>MAY</v>
      </c>
    </row>
    <row r="7" spans="1:14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3" t="str">
        <f t="shared" si="0"/>
        <v>Standard Price</v>
      </c>
      <c r="I7" s="10" t="s">
        <v>114</v>
      </c>
      <c r="J7" s="12">
        <f>MAX(D2:D35)</f>
        <v>1000</v>
      </c>
      <c r="L7" s="10" t="str">
        <f t="shared" si="1"/>
        <v>07</v>
      </c>
      <c r="M7" s="10" t="str">
        <f t="shared" si="2"/>
        <v>UK</v>
      </c>
      <c r="N7" s="10" t="str">
        <f t="shared" si="3"/>
        <v>JUN</v>
      </c>
    </row>
    <row r="8" spans="1:14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3" t="str">
        <f t="shared" si="0"/>
        <v>Standard Price</v>
      </c>
      <c r="I8" s="14" t="s">
        <v>119</v>
      </c>
      <c r="L8" s="10" t="str">
        <f t="shared" si="1"/>
        <v>19</v>
      </c>
      <c r="M8" s="10" t="str">
        <f t="shared" si="2"/>
        <v>UK</v>
      </c>
      <c r="N8" s="10" t="str">
        <f t="shared" si="3"/>
        <v>JUL</v>
      </c>
    </row>
    <row r="9" spans="1:14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3" t="str">
        <f t="shared" si="0"/>
        <v>Standard Price</v>
      </c>
      <c r="I9" s="10" t="s">
        <v>116</v>
      </c>
      <c r="J9" s="10">
        <f>SUMIF(F2:F35,"Electronics",D2:D35)</f>
        <v>8050</v>
      </c>
      <c r="L9" s="10" t="str">
        <f t="shared" si="1"/>
        <v>23</v>
      </c>
      <c r="M9" s="10" t="str">
        <f t="shared" si="2"/>
        <v>UK</v>
      </c>
      <c r="N9" s="10" t="str">
        <f t="shared" si="3"/>
        <v>AUG</v>
      </c>
    </row>
    <row r="10" spans="1:14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3" t="str">
        <f t="shared" si="0"/>
        <v>High Price</v>
      </c>
      <c r="I10" s="10" t="s">
        <v>117</v>
      </c>
      <c r="J10" s="10">
        <f>COUNTIF(D2:D35,"&lt;100")</f>
        <v>11</v>
      </c>
      <c r="L10" s="10" t="str">
        <f t="shared" si="1"/>
        <v>05</v>
      </c>
      <c r="M10" s="10" t="str">
        <f t="shared" si="2"/>
        <v>UK</v>
      </c>
      <c r="N10" s="10" t="str">
        <f t="shared" si="3"/>
        <v>SEP</v>
      </c>
    </row>
    <row r="11" spans="1:14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3" t="str">
        <f t="shared" si="0"/>
        <v>Standard Price</v>
      </c>
      <c r="L11" s="10" t="str">
        <f t="shared" si="1"/>
        <v>14</v>
      </c>
      <c r="M11" s="10" t="str">
        <f t="shared" si="2"/>
        <v>UK</v>
      </c>
      <c r="N11" s="10" t="str">
        <f t="shared" si="3"/>
        <v>OCT</v>
      </c>
    </row>
    <row r="12" spans="1:14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3" t="str">
        <f t="shared" si="0"/>
        <v>High Price</v>
      </c>
      <c r="L12" s="10" t="str">
        <f t="shared" si="1"/>
        <v>17</v>
      </c>
      <c r="M12" s="10" t="str">
        <f t="shared" si="2"/>
        <v>IN</v>
      </c>
      <c r="N12" s="10" t="str">
        <f t="shared" si="3"/>
        <v>JUN</v>
      </c>
    </row>
    <row r="13" spans="1:14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3" t="str">
        <f t="shared" si="0"/>
        <v>Standard Price</v>
      </c>
      <c r="L13" s="10" t="str">
        <f t="shared" si="1"/>
        <v>25</v>
      </c>
      <c r="M13" s="10" t="str">
        <f t="shared" si="2"/>
        <v>AU</v>
      </c>
      <c r="N13" s="10" t="str">
        <f t="shared" si="3"/>
        <v>NOV</v>
      </c>
    </row>
    <row r="14" spans="1:14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3" t="str">
        <f t="shared" si="0"/>
        <v>Standard Price</v>
      </c>
      <c r="L14" s="10" t="str">
        <f t="shared" si="1"/>
        <v>08</v>
      </c>
      <c r="M14" s="10" t="str">
        <f t="shared" si="2"/>
        <v>DE</v>
      </c>
      <c r="N14" s="10" t="str">
        <f t="shared" si="3"/>
        <v>DEC</v>
      </c>
    </row>
    <row r="15" spans="1:14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3" t="str">
        <f t="shared" si="0"/>
        <v>Standard Price</v>
      </c>
      <c r="L15" s="10" t="str">
        <f t="shared" si="1"/>
        <v>18</v>
      </c>
      <c r="M15" s="10" t="str">
        <f t="shared" si="2"/>
        <v>CA</v>
      </c>
      <c r="N15" s="10" t="str">
        <f t="shared" si="3"/>
        <v>FEB</v>
      </c>
    </row>
    <row r="16" spans="1:14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3" t="str">
        <f t="shared" si="0"/>
        <v>Standard Price</v>
      </c>
      <c r="L16" s="10" t="str">
        <f t="shared" si="1"/>
        <v>16</v>
      </c>
      <c r="M16" s="10" t="str">
        <f t="shared" si="2"/>
        <v>ES</v>
      </c>
      <c r="N16" s="10" t="str">
        <f t="shared" si="3"/>
        <v>APR</v>
      </c>
    </row>
    <row r="17" spans="1:14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3" t="str">
        <f t="shared" si="0"/>
        <v>Standard Price</v>
      </c>
      <c r="L17" s="10" t="str">
        <f t="shared" si="1"/>
        <v>21</v>
      </c>
      <c r="M17" s="10" t="str">
        <f t="shared" si="2"/>
        <v>CA</v>
      </c>
      <c r="N17" s="10" t="str">
        <f t="shared" si="3"/>
        <v>AUG</v>
      </c>
    </row>
    <row r="18" spans="1:14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3" t="str">
        <f t="shared" si="0"/>
        <v>Standard Price</v>
      </c>
      <c r="L18" s="10" t="str">
        <f t="shared" si="1"/>
        <v>20</v>
      </c>
      <c r="M18" s="10" t="str">
        <f t="shared" si="2"/>
        <v>CN</v>
      </c>
      <c r="N18" s="10" t="str">
        <f t="shared" si="3"/>
        <v>AUG</v>
      </c>
    </row>
    <row r="19" spans="1:14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3" t="str">
        <f t="shared" si="0"/>
        <v>High Price</v>
      </c>
      <c r="L19" s="10" t="str">
        <f t="shared" si="1"/>
        <v>27</v>
      </c>
      <c r="M19" s="10" t="str">
        <f t="shared" si="2"/>
        <v>IT</v>
      </c>
      <c r="N19" s="10" t="str">
        <f t="shared" si="3"/>
        <v>JAN</v>
      </c>
    </row>
    <row r="20" spans="1:14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3" t="str">
        <f t="shared" si="0"/>
        <v>Standard Price</v>
      </c>
      <c r="L20" s="10" t="str">
        <f t="shared" si="1"/>
        <v>01</v>
      </c>
      <c r="M20" s="10" t="str">
        <f t="shared" si="2"/>
        <v>UK</v>
      </c>
      <c r="N20" s="10" t="str">
        <f t="shared" si="3"/>
        <v>MAR</v>
      </c>
    </row>
    <row r="21" spans="1:14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3" t="str">
        <f t="shared" si="0"/>
        <v>Standard Price</v>
      </c>
      <c r="L21" s="10" t="str">
        <f t="shared" si="1"/>
        <v>14</v>
      </c>
      <c r="M21" s="10" t="str">
        <f t="shared" si="2"/>
        <v>US</v>
      </c>
      <c r="N21" s="10" t="str">
        <f t="shared" si="3"/>
        <v>AUG</v>
      </c>
    </row>
    <row r="22" spans="1:14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3" t="str">
        <f t="shared" si="0"/>
        <v>High Price</v>
      </c>
      <c r="L22" s="10" t="str">
        <f t="shared" si="1"/>
        <v>14</v>
      </c>
      <c r="M22" s="10" t="str">
        <f t="shared" si="2"/>
        <v>RU</v>
      </c>
      <c r="N22" s="10" t="str">
        <f t="shared" si="3"/>
        <v>MAY</v>
      </c>
    </row>
    <row r="23" spans="1:14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3" t="str">
        <f t="shared" si="0"/>
        <v>Standard Price</v>
      </c>
      <c r="L23" s="10" t="str">
        <f t="shared" si="1"/>
        <v>09</v>
      </c>
      <c r="M23" s="10" t="str">
        <f t="shared" si="2"/>
        <v>CA</v>
      </c>
      <c r="N23" s="10" t="str">
        <f t="shared" si="3"/>
        <v>JAN</v>
      </c>
    </row>
    <row r="24" spans="1:14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3" t="str">
        <f t="shared" si="0"/>
        <v>Standard Price</v>
      </c>
      <c r="L24" s="10" t="str">
        <f t="shared" si="1"/>
        <v>19</v>
      </c>
      <c r="M24" s="10" t="str">
        <f t="shared" si="2"/>
        <v>BR</v>
      </c>
      <c r="N24" s="10" t="str">
        <f t="shared" si="3"/>
        <v>JUL</v>
      </c>
    </row>
    <row r="25" spans="1:14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3" t="str">
        <f t="shared" si="0"/>
        <v>Standard Price</v>
      </c>
      <c r="L25" s="10" t="str">
        <f t="shared" si="1"/>
        <v>21</v>
      </c>
      <c r="M25" s="10" t="str">
        <f t="shared" si="2"/>
        <v>CA</v>
      </c>
      <c r="N25" s="10" t="str">
        <f t="shared" si="3"/>
        <v>AUG</v>
      </c>
    </row>
    <row r="26" spans="1:14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3" t="str">
        <f t="shared" si="0"/>
        <v>High Price</v>
      </c>
      <c r="L26" s="10" t="str">
        <f t="shared" si="1"/>
        <v>29</v>
      </c>
      <c r="M26" s="10" t="str">
        <f t="shared" si="2"/>
        <v>CA</v>
      </c>
      <c r="N26" s="10" t="str">
        <f t="shared" si="3"/>
        <v>SEP</v>
      </c>
    </row>
    <row r="27" spans="1:14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3" t="str">
        <f t="shared" si="0"/>
        <v>Standard Price</v>
      </c>
      <c r="L27" s="10" t="str">
        <f t="shared" si="1"/>
        <v>03</v>
      </c>
      <c r="M27" s="10" t="str">
        <f t="shared" si="2"/>
        <v>CA</v>
      </c>
      <c r="N27" s="10" t="str">
        <f t="shared" si="3"/>
        <v>JUN</v>
      </c>
    </row>
    <row r="28" spans="1:14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3" t="str">
        <f t="shared" si="0"/>
        <v>Standard Price</v>
      </c>
      <c r="L28" s="10" t="str">
        <f t="shared" si="1"/>
        <v>11</v>
      </c>
      <c r="M28" s="10" t="str">
        <f t="shared" si="2"/>
        <v>CA</v>
      </c>
      <c r="N28" s="10" t="str">
        <f t="shared" si="3"/>
        <v>JUL</v>
      </c>
    </row>
    <row r="29" spans="1:14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3" t="str">
        <f t="shared" si="0"/>
        <v>Standard Price</v>
      </c>
      <c r="L29" s="10" t="str">
        <f t="shared" si="1"/>
        <v>16</v>
      </c>
      <c r="M29" s="10" t="str">
        <f t="shared" si="2"/>
        <v>ES</v>
      </c>
      <c r="N29" s="10" t="str">
        <f t="shared" si="3"/>
        <v>APR</v>
      </c>
    </row>
    <row r="30" spans="1:14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3" t="str">
        <f t="shared" si="0"/>
        <v>Standard Price</v>
      </c>
      <c r="L30" s="10" t="str">
        <f t="shared" si="1"/>
        <v>07</v>
      </c>
      <c r="M30" s="10" t="str">
        <f t="shared" si="2"/>
        <v>CA</v>
      </c>
      <c r="N30" s="10" t="str">
        <f t="shared" si="3"/>
        <v>MAR</v>
      </c>
    </row>
    <row r="31" spans="1:14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3" t="str">
        <f t="shared" si="0"/>
        <v>Standard Price</v>
      </c>
      <c r="L31" s="10" t="str">
        <f t="shared" si="1"/>
        <v>13</v>
      </c>
      <c r="M31" s="10" t="str">
        <f t="shared" si="2"/>
        <v>CA</v>
      </c>
      <c r="N31" s="10" t="str">
        <f t="shared" si="3"/>
        <v>APR</v>
      </c>
    </row>
    <row r="32" spans="1:14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3" t="str">
        <f t="shared" si="0"/>
        <v>Standard Price</v>
      </c>
      <c r="L32" s="10" t="str">
        <f t="shared" si="1"/>
        <v>24</v>
      </c>
      <c r="M32" s="10" t="str">
        <f t="shared" si="2"/>
        <v>CA</v>
      </c>
      <c r="N32" s="10" t="str">
        <f t="shared" si="3"/>
        <v>MAY</v>
      </c>
    </row>
    <row r="33" spans="1:14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3" t="str">
        <f t="shared" si="0"/>
        <v>Standard Price</v>
      </c>
      <c r="L33" s="10" t="str">
        <f t="shared" si="1"/>
        <v>02</v>
      </c>
      <c r="M33" s="10" t="str">
        <f t="shared" si="2"/>
        <v>CA</v>
      </c>
      <c r="N33" s="10" t="str">
        <f t="shared" si="3"/>
        <v>DEC</v>
      </c>
    </row>
    <row r="34" spans="1:14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3" t="str">
        <f t="shared" si="0"/>
        <v>High Price</v>
      </c>
      <c r="L34" s="10" t="str">
        <f t="shared" si="1"/>
        <v>17</v>
      </c>
      <c r="M34" s="10" t="str">
        <f t="shared" si="2"/>
        <v>IN</v>
      </c>
      <c r="N34" s="10" t="str">
        <f t="shared" si="3"/>
        <v>JUN</v>
      </c>
    </row>
    <row r="35" spans="1:14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3" t="str">
        <f t="shared" si="0"/>
        <v>Standard Price</v>
      </c>
      <c r="L35" s="10" t="str">
        <f t="shared" si="1"/>
        <v>09</v>
      </c>
      <c r="M35" s="10" t="str">
        <f t="shared" si="2"/>
        <v>FR</v>
      </c>
      <c r="N35" s="10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rijas olakkal</dc:creator>
  <cp:lastModifiedBy>rijas olakkal</cp:lastModifiedBy>
  <dcterms:created xsi:type="dcterms:W3CDTF">2026-09-16T20:36:27Z</dcterms:created>
  <dcterms:modified xsi:type="dcterms:W3CDTF">2026-09-16T21:19:34Z</dcterms:modified>
</cp:coreProperties>
</file>